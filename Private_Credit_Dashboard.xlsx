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600" yWindow="-1860" windowWidth="38400" windowHeight="20980" tabRatio="600" firstSheet="0" activeTab="3" autoFilterDateGrouping="1"/>
  </bookViews>
  <sheets>
    <sheet name="Intro" sheetId="1" state="visible" r:id="rId1"/>
    <sheet name="Data_Input" sheetId="2" state="visible" r:id="rId2"/>
    <sheet name="HYG_Data" sheetId="3" state="visible" r:id="rId3"/>
    <sheet name="Dashboard" sheetId="4" state="visible" r:id="rId4"/>
  </sheets>
  <definedNames>
    <definedName name="ExternalData_1" localSheetId="2" hidden="1">HYG_Data!$A$1:$G$61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b val="1"/>
      <color theme="0"/>
      <sz val="18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9" fontId="1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indent="1"/>
    </xf>
    <xf numFmtId="1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10" fontId="1" fillId="0" borderId="0" pivotButton="0" quotePrefix="0" xfId="1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0" fontId="4" fillId="2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High</a:t>
            </a:r>
            <a:r>
              <a:rPr lang="en-US" b="1" baseline="0"/>
              <a:t xml:space="preserve"> Yield Credit Trend (HYG)</a:t>
            </a:r>
            <a:endParaRPr lang="en-US" b="1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HYG_Data!$B$1</f>
              <strCache>
                <ptCount val="1"/>
                <pt idx="0">
                  <v>Price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HYG_Data!$A$2:$A$61</f>
              <numCache>
                <formatCode>m/d/yy</formatCode>
                <ptCount val="60"/>
                <pt idx="0">
                  <v>46024</v>
                </pt>
                <pt idx="1">
                  <v>46027</v>
                </pt>
                <pt idx="2">
                  <v>46028</v>
                </pt>
                <pt idx="3">
                  <v>46029</v>
                </pt>
                <pt idx="4">
                  <v>46030</v>
                </pt>
                <pt idx="5">
                  <v>46031</v>
                </pt>
                <pt idx="6">
                  <v>46034</v>
                </pt>
                <pt idx="7">
                  <v>46035</v>
                </pt>
                <pt idx="8">
                  <v>46036</v>
                </pt>
                <pt idx="9">
                  <v>46037</v>
                </pt>
                <pt idx="10">
                  <v>46038</v>
                </pt>
                <pt idx="11">
                  <v>46042</v>
                </pt>
                <pt idx="12">
                  <v>46043</v>
                </pt>
                <pt idx="13">
                  <v>46044</v>
                </pt>
                <pt idx="14">
                  <v>46045</v>
                </pt>
                <pt idx="15">
                  <v>46048</v>
                </pt>
                <pt idx="16">
                  <v>46049</v>
                </pt>
                <pt idx="17">
                  <v>46050</v>
                </pt>
                <pt idx="18">
                  <v>46051</v>
                </pt>
                <pt idx="19">
                  <v>46052</v>
                </pt>
                <pt idx="20">
                  <v>46055</v>
                </pt>
                <pt idx="21">
                  <v>46056</v>
                </pt>
                <pt idx="22">
                  <v>46057</v>
                </pt>
                <pt idx="23">
                  <v>46058</v>
                </pt>
                <pt idx="24">
                  <v>46059</v>
                </pt>
                <pt idx="25">
                  <v>46062</v>
                </pt>
                <pt idx="26">
                  <v>46063</v>
                </pt>
                <pt idx="27">
                  <v>46064</v>
                </pt>
                <pt idx="28">
                  <v>46065</v>
                </pt>
                <pt idx="29">
                  <v>46066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46076</v>
                </pt>
                <pt idx="35">
                  <v>46077</v>
                </pt>
                <pt idx="36">
                  <v>46078</v>
                </pt>
                <pt idx="37">
                  <v>46079</v>
                </pt>
                <pt idx="38">
                  <v>46080</v>
                </pt>
                <pt idx="39">
                  <v>46083</v>
                </pt>
                <pt idx="40">
                  <v>46084</v>
                </pt>
                <pt idx="41">
                  <v>46085</v>
                </pt>
                <pt idx="42">
                  <v>46086</v>
                </pt>
                <pt idx="43">
                  <v>46087</v>
                </pt>
                <pt idx="44">
                  <v>46090</v>
                </pt>
                <pt idx="45">
                  <v>46091</v>
                </pt>
                <pt idx="46">
                  <v>46092</v>
                </pt>
                <pt idx="47">
                  <v>46093</v>
                </pt>
                <pt idx="48">
                  <v>46094</v>
                </pt>
                <pt idx="49">
                  <v>46097</v>
                </pt>
                <pt idx="50">
                  <v>46098</v>
                </pt>
                <pt idx="51">
                  <v>46099</v>
                </pt>
                <pt idx="52">
                  <v>46100</v>
                </pt>
                <pt idx="53">
                  <v>46101</v>
                </pt>
                <pt idx="54">
                  <v>46104</v>
                </pt>
                <pt idx="55">
                  <v>46105</v>
                </pt>
                <pt idx="56">
                  <v>46106</v>
                </pt>
                <pt idx="57">
                  <v>46107</v>
                </pt>
                <pt idx="58">
                  <v>46108</v>
                </pt>
                <pt idx="59">
                  <v>46111</v>
                </pt>
              </numCache>
            </numRef>
          </cat>
          <val>
            <numRef>
              <f>HYG_Data!$B$2:$B$61</f>
              <numCache>
                <formatCode>General</formatCode>
                <ptCount val="60"/>
                <pt idx="0">
                  <v>80.67</v>
                </pt>
                <pt idx="1">
                  <v>80.88</v>
                </pt>
                <pt idx="2">
                  <v>80.90000000000001</v>
                </pt>
                <pt idx="3">
                  <v>80.88</v>
                </pt>
                <pt idx="4">
                  <v>80.94</v>
                </pt>
                <pt idx="5">
                  <v>81</v>
                </pt>
                <pt idx="6">
                  <v>81.04000000000001</v>
                </pt>
                <pt idx="7">
                  <v>81.04000000000001</v>
                </pt>
                <pt idx="8">
                  <v>81.04000000000001</v>
                </pt>
                <pt idx="9">
                  <v>81.04000000000001</v>
                </pt>
                <pt idx="10">
                  <v>81.09</v>
                </pt>
                <pt idx="11">
                  <v>80.88</v>
                </pt>
                <pt idx="12">
                  <v>81.12</v>
                </pt>
                <pt idx="13">
                  <v>81.18000000000001</v>
                </pt>
                <pt idx="14">
                  <v>81.14</v>
                </pt>
                <pt idx="15">
                  <v>81.18000000000001</v>
                </pt>
                <pt idx="16">
                  <v>81.17</v>
                </pt>
                <pt idx="17">
                  <v>81.04000000000001</v>
                </pt>
                <pt idx="18">
                  <v>81.03</v>
                </pt>
                <pt idx="19">
                  <v>81.12</v>
                </pt>
                <pt idx="20">
                  <v>80.77</v>
                </pt>
                <pt idx="21">
                  <v>80.72</v>
                </pt>
                <pt idx="22">
                  <v>80.62</v>
                </pt>
                <pt idx="23">
                  <v>80.53</v>
                </pt>
                <pt idx="24">
                  <v>80.81</v>
                </pt>
                <pt idx="25">
                  <v>80.92</v>
                </pt>
                <pt idx="26">
                  <v>80.84</v>
                </pt>
                <pt idx="27">
                  <v>80.83</v>
                </pt>
                <pt idx="28">
                  <v>80.79000000000001</v>
                </pt>
                <pt idx="29">
                  <v>80.84999999999999</v>
                </pt>
                <pt idx="30">
                  <v>80.81</v>
                </pt>
                <pt idx="31">
                  <v>80.91</v>
                </pt>
                <pt idx="32">
                  <v>80.94</v>
                </pt>
                <pt idx="33">
                  <v>81</v>
                </pt>
                <pt idx="34">
                  <v>80.87</v>
                </pt>
                <pt idx="35">
                  <v>80.81</v>
                </pt>
                <pt idx="36">
                  <v>80.92</v>
                </pt>
                <pt idx="37">
                  <v>80.84999999999999</v>
                </pt>
                <pt idx="38">
                  <v>80.72</v>
                </pt>
                <pt idx="39">
                  <v>80.28</v>
                </pt>
                <pt idx="40">
                  <v>80.12</v>
                </pt>
                <pt idx="41">
                  <v>80.40000000000001</v>
                </pt>
                <pt idx="42">
                  <v>80.08</v>
                </pt>
                <pt idx="43">
                  <v>79.69</v>
                </pt>
                <pt idx="44">
                  <v>80.17</v>
                </pt>
                <pt idx="45">
                  <v>80.04000000000001</v>
                </pt>
                <pt idx="46">
                  <v>79.86</v>
                </pt>
                <pt idx="47">
                  <v>79.34999999999999</v>
                </pt>
                <pt idx="48">
                  <v>79.2</v>
                </pt>
                <pt idx="49">
                  <v>79.45</v>
                </pt>
                <pt idx="50">
                  <v>79.81</v>
                </pt>
                <pt idx="51">
                  <v>79.40000000000001</v>
                </pt>
                <pt idx="52">
                  <v>79.66</v>
                </pt>
                <pt idx="53">
                  <v>78.92</v>
                </pt>
                <pt idx="54">
                  <v>79.44</v>
                </pt>
                <pt idx="55">
                  <v>79.17</v>
                </pt>
                <pt idx="56">
                  <v>79.42</v>
                </pt>
                <pt idx="57">
                  <v>78.92</v>
                </pt>
                <pt idx="58">
                  <v>78.72</v>
                </pt>
                <pt idx="59">
                  <v>78.81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94690624"/>
        <axId val="494685248"/>
      </lineChart>
      <dateAx>
        <axId val="49469062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4685248"/>
        <crosses val="autoZero"/>
        <lblOffset val="100"/>
        <baseTimeUnit val="days"/>
      </dateAx>
      <valAx>
        <axId val="4946852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469062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High</a:t>
            </a:r>
            <a:r>
              <a:rPr lang="en-US" b="1" baseline="0">
                <a:solidFill>
                  <a:srgbClr val="002060"/>
                </a:solidFill>
              </a:rPr>
              <a:t xml:space="preserve"> Yield Credit Trend (HYG)</a:t>
            </a:r>
            <a:endParaRPr lang="en-US" b="1">
              <a:solidFill>
                <a:srgbClr val="002060"/>
              </a:solidFill>
            </a:endParaRP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HYG_Data!$B$1</f>
              <strCache>
                <ptCount val="1"/>
                <pt idx="0">
                  <v>Price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HYG_Data!$A$2:$A$61</f>
              <numCache>
                <formatCode>m/d/yy</formatCode>
                <ptCount val="60"/>
                <pt idx="0">
                  <v>46024</v>
                </pt>
                <pt idx="1">
                  <v>46027</v>
                </pt>
                <pt idx="2">
                  <v>46028</v>
                </pt>
                <pt idx="3">
                  <v>46029</v>
                </pt>
                <pt idx="4">
                  <v>46030</v>
                </pt>
                <pt idx="5">
                  <v>46031</v>
                </pt>
                <pt idx="6">
                  <v>46034</v>
                </pt>
                <pt idx="7">
                  <v>46035</v>
                </pt>
                <pt idx="8">
                  <v>46036</v>
                </pt>
                <pt idx="9">
                  <v>46037</v>
                </pt>
                <pt idx="10">
                  <v>46038</v>
                </pt>
                <pt idx="11">
                  <v>46042</v>
                </pt>
                <pt idx="12">
                  <v>46043</v>
                </pt>
                <pt idx="13">
                  <v>46044</v>
                </pt>
                <pt idx="14">
                  <v>46045</v>
                </pt>
                <pt idx="15">
                  <v>46048</v>
                </pt>
                <pt idx="16">
                  <v>46049</v>
                </pt>
                <pt idx="17">
                  <v>46050</v>
                </pt>
                <pt idx="18">
                  <v>46051</v>
                </pt>
                <pt idx="19">
                  <v>46052</v>
                </pt>
                <pt idx="20">
                  <v>46055</v>
                </pt>
                <pt idx="21">
                  <v>46056</v>
                </pt>
                <pt idx="22">
                  <v>46057</v>
                </pt>
                <pt idx="23">
                  <v>46058</v>
                </pt>
                <pt idx="24">
                  <v>46059</v>
                </pt>
                <pt idx="25">
                  <v>46062</v>
                </pt>
                <pt idx="26">
                  <v>46063</v>
                </pt>
                <pt idx="27">
                  <v>46064</v>
                </pt>
                <pt idx="28">
                  <v>46065</v>
                </pt>
                <pt idx="29">
                  <v>46066</v>
                </pt>
                <pt idx="30">
                  <v>46070</v>
                </pt>
                <pt idx="31">
                  <v>46071</v>
                </pt>
                <pt idx="32">
                  <v>46072</v>
                </pt>
                <pt idx="33">
                  <v>46073</v>
                </pt>
                <pt idx="34">
                  <v>46076</v>
                </pt>
                <pt idx="35">
                  <v>46077</v>
                </pt>
                <pt idx="36">
                  <v>46078</v>
                </pt>
                <pt idx="37">
                  <v>46079</v>
                </pt>
                <pt idx="38">
                  <v>46080</v>
                </pt>
                <pt idx="39">
                  <v>46083</v>
                </pt>
                <pt idx="40">
                  <v>46084</v>
                </pt>
                <pt idx="41">
                  <v>46085</v>
                </pt>
                <pt idx="42">
                  <v>46086</v>
                </pt>
                <pt idx="43">
                  <v>46087</v>
                </pt>
                <pt idx="44">
                  <v>46090</v>
                </pt>
                <pt idx="45">
                  <v>46091</v>
                </pt>
                <pt idx="46">
                  <v>46092</v>
                </pt>
                <pt idx="47">
                  <v>46093</v>
                </pt>
                <pt idx="48">
                  <v>46094</v>
                </pt>
                <pt idx="49">
                  <v>46097</v>
                </pt>
                <pt idx="50">
                  <v>46098</v>
                </pt>
                <pt idx="51">
                  <v>46099</v>
                </pt>
                <pt idx="52">
                  <v>46100</v>
                </pt>
                <pt idx="53">
                  <v>46101</v>
                </pt>
                <pt idx="54">
                  <v>46104</v>
                </pt>
                <pt idx="55">
                  <v>46105</v>
                </pt>
                <pt idx="56">
                  <v>46106</v>
                </pt>
                <pt idx="57">
                  <v>46107</v>
                </pt>
                <pt idx="58">
                  <v>46108</v>
                </pt>
                <pt idx="59">
                  <v>46111</v>
                </pt>
              </numCache>
            </numRef>
          </cat>
          <val>
            <numRef>
              <f>HYG_Data!$B$2:$B$61</f>
              <numCache>
                <formatCode>General</formatCode>
                <ptCount val="60"/>
                <pt idx="0">
                  <v>80.67</v>
                </pt>
                <pt idx="1">
                  <v>80.88</v>
                </pt>
                <pt idx="2">
                  <v>80.90000000000001</v>
                </pt>
                <pt idx="3">
                  <v>80.88</v>
                </pt>
                <pt idx="4">
                  <v>80.94</v>
                </pt>
                <pt idx="5">
                  <v>81</v>
                </pt>
                <pt idx="6">
                  <v>81.04000000000001</v>
                </pt>
                <pt idx="7">
                  <v>81.04000000000001</v>
                </pt>
                <pt idx="8">
                  <v>81.04000000000001</v>
                </pt>
                <pt idx="9">
                  <v>81.04000000000001</v>
                </pt>
                <pt idx="10">
                  <v>81.09</v>
                </pt>
                <pt idx="11">
                  <v>80.88</v>
                </pt>
                <pt idx="12">
                  <v>81.12</v>
                </pt>
                <pt idx="13">
                  <v>81.18000000000001</v>
                </pt>
                <pt idx="14">
                  <v>81.14</v>
                </pt>
                <pt idx="15">
                  <v>81.18000000000001</v>
                </pt>
                <pt idx="16">
                  <v>81.17</v>
                </pt>
                <pt idx="17">
                  <v>81.04000000000001</v>
                </pt>
                <pt idx="18">
                  <v>81.03</v>
                </pt>
                <pt idx="19">
                  <v>81.12</v>
                </pt>
                <pt idx="20">
                  <v>80.77</v>
                </pt>
                <pt idx="21">
                  <v>80.72</v>
                </pt>
                <pt idx="22">
                  <v>80.62</v>
                </pt>
                <pt idx="23">
                  <v>80.53</v>
                </pt>
                <pt idx="24">
                  <v>80.81</v>
                </pt>
                <pt idx="25">
                  <v>80.92</v>
                </pt>
                <pt idx="26">
                  <v>80.84</v>
                </pt>
                <pt idx="27">
                  <v>80.83</v>
                </pt>
                <pt idx="28">
                  <v>80.79000000000001</v>
                </pt>
                <pt idx="29">
                  <v>80.84999999999999</v>
                </pt>
                <pt idx="30">
                  <v>80.81</v>
                </pt>
                <pt idx="31">
                  <v>80.91</v>
                </pt>
                <pt idx="32">
                  <v>80.94</v>
                </pt>
                <pt idx="33">
                  <v>81</v>
                </pt>
                <pt idx="34">
                  <v>80.87</v>
                </pt>
                <pt idx="35">
                  <v>80.81</v>
                </pt>
                <pt idx="36">
                  <v>80.92</v>
                </pt>
                <pt idx="37">
                  <v>80.84999999999999</v>
                </pt>
                <pt idx="38">
                  <v>80.72</v>
                </pt>
                <pt idx="39">
                  <v>80.28</v>
                </pt>
                <pt idx="40">
                  <v>80.12</v>
                </pt>
                <pt idx="41">
                  <v>80.40000000000001</v>
                </pt>
                <pt idx="42">
                  <v>80.08</v>
                </pt>
                <pt idx="43">
                  <v>79.69</v>
                </pt>
                <pt idx="44">
                  <v>80.17</v>
                </pt>
                <pt idx="45">
                  <v>80.04000000000001</v>
                </pt>
                <pt idx="46">
                  <v>79.86</v>
                </pt>
                <pt idx="47">
                  <v>79.34999999999999</v>
                </pt>
                <pt idx="48">
                  <v>79.2</v>
                </pt>
                <pt idx="49">
                  <v>79.45</v>
                </pt>
                <pt idx="50">
                  <v>79.81</v>
                </pt>
                <pt idx="51">
                  <v>79.40000000000001</v>
                </pt>
                <pt idx="52">
                  <v>79.66</v>
                </pt>
                <pt idx="53">
                  <v>78.92</v>
                </pt>
                <pt idx="54">
                  <v>79.44</v>
                </pt>
                <pt idx="55">
                  <v>79.17</v>
                </pt>
                <pt idx="56">
                  <v>79.42</v>
                </pt>
                <pt idx="57">
                  <v>78.92</v>
                </pt>
                <pt idx="58">
                  <v>78.72</v>
                </pt>
                <pt idx="59">
                  <v>78.81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94690624"/>
        <axId val="494685248"/>
      </lineChart>
      <dateAx>
        <axId val="494690624"/>
        <scaling>
          <orientation val="minMax"/>
        </scaling>
        <delete val="0"/>
        <axPos val="b"/>
        <numFmt formatCode="m/d/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4685248"/>
        <crosses val="autoZero"/>
        <lblOffset val="100"/>
        <baseTimeUnit val="days"/>
      </dateAx>
      <valAx>
        <axId val="49468524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469062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Private Credit Firms Weekly Performance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Dashboard!$I$4</f>
              <strCache>
                <ptCount val="1"/>
                <pt idx="0">
                  <v>% Change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Dashboard!$F$5:$F$8</f>
              <strCache>
                <ptCount val="4"/>
                <pt idx="0">
                  <v>BX</v>
                </pt>
                <pt idx="1">
                  <v>APO</v>
                </pt>
                <pt idx="2">
                  <v>ARES</v>
                </pt>
                <pt idx="3">
                  <v>KKR</v>
                </pt>
              </strCache>
            </strRef>
          </cat>
          <val>
            <numRef>
              <f>Dashboard!$I$5:$I$8</f>
              <numCache>
                <formatCode>0.00%</formatCode>
                <ptCount val="4"/>
                <pt idx="0">
                  <v>0.03037634408602151</v>
                </pt>
                <pt idx="1">
                  <v>0.01336971350613914</v>
                </pt>
                <pt idx="2">
                  <v>0.01337544120378969</v>
                </pt>
                <pt idx="3">
                  <v>0.0236830455953962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483596416"/>
        <axId val="494636992"/>
      </barChart>
      <catAx>
        <axId val="4835964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4636992"/>
        <crosses val="autoZero"/>
        <auto val="1"/>
        <lblAlgn val="ctr"/>
        <lblOffset val="100"/>
        <noMultiLvlLbl val="0"/>
      </catAx>
      <valAx>
        <axId val="49463699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Change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835964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774700</colOff>
      <row>19</row>
      <rowOff>177800</rowOff>
    </from>
    <to>
      <col>20</col>
      <colOff>152400</colOff>
      <row>42</row>
      <rowOff>171450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18144</colOff>
      <row>9</row>
      <rowOff>9071</rowOff>
    </from>
    <to>
      <col>14</col>
      <colOff>27216</colOff>
      <row>27</row>
      <rowOff>136071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18141</colOff>
      <row>9</row>
      <rowOff>0</rowOff>
    </from>
    <to>
      <col>5</col>
      <colOff>1415142</colOff>
      <row>27</row>
      <rowOff>18143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3:O41"/>
  <sheetViews>
    <sheetView showGridLines="0" showRowColHeaders="0" topLeftCell="A22" zoomScale="171" zoomScaleNormal="120" workbookViewId="0">
      <selection activeCell="D46" sqref="D46"/>
    </sheetView>
  </sheetViews>
  <sheetFormatPr baseColWidth="10" defaultRowHeight="16"/>
  <sheetData>
    <row r="3">
      <c r="A3" s="1" t="n"/>
      <c r="B3" s="2" t="inlineStr">
        <is>
          <t>" This dashboard monitors trends in the private credit market using public market proxies, credit spreads, and sentiment indicators to assess changes in credit risk and market conditions,"</t>
        </is>
      </c>
      <c r="D3" s="1" t="n"/>
      <c r="E3" s="1" t="n"/>
      <c r="F3" s="1" t="n"/>
      <c r="G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inlineStr">
        <is>
          <t>3 Core Questions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A7" s="1" t="n"/>
      <c r="B7" s="1" t="n"/>
      <c r="C7" s="1" t="inlineStr">
        <is>
          <t>1. Is credit risk increasing or decreasing ?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inlineStr">
        <is>
          <t>(spreads, CDS, defaults)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inlineStr">
        <is>
          <t>2. Are private credit returns under pressure ?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inlineStr">
        <is>
          <t>(loan prices, HY bonds, manager performance)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3">
      <c r="C13" s="1" t="inlineStr">
        <is>
          <t>3. Is market sentiment improving or worsening ?</t>
        </is>
      </c>
    </row>
    <row r="14">
      <c r="C14" s="1" t="inlineStr">
        <is>
          <t>(stocks of BX, APO)</t>
        </is>
      </c>
    </row>
    <row r="17">
      <c r="C17" t="inlineStr">
        <is>
          <t>Data Buckets:</t>
        </is>
      </c>
    </row>
    <row r="19">
      <c r="C19" t="inlineStr">
        <is>
          <t>1. Market Risk (Macro Credit Conditions) : captures the overall stress of the market</t>
        </is>
      </c>
    </row>
    <row r="20">
      <c r="C20" t="inlineStr">
        <is>
          <t>Will be tracking :</t>
        </is>
      </c>
    </row>
    <row r="21">
      <c r="C21" t="inlineStr">
        <is>
          <t>High Yield Spread</t>
        </is>
      </c>
    </row>
    <row r="22">
      <c r="C22" t="inlineStr">
        <is>
          <t>Leveraged loan prices</t>
        </is>
      </c>
    </row>
    <row r="23">
      <c r="C23" t="inlineStr">
        <is>
          <t>CDS index (CDX HY)</t>
        </is>
      </c>
    </row>
    <row r="25">
      <c r="C25" t="inlineStr">
        <is>
          <t>2. Private Credit Proxies (Industry Health)</t>
        </is>
      </c>
    </row>
    <row r="26">
      <c r="C26" t="inlineStr">
        <is>
          <t>Will be tracking :</t>
        </is>
      </c>
    </row>
    <row r="27">
      <c r="C27" t="inlineStr">
        <is>
          <t>Blackstone</t>
        </is>
      </c>
    </row>
    <row r="28">
      <c r="C28" t="inlineStr">
        <is>
          <t>Apollo Global Management</t>
        </is>
      </c>
    </row>
    <row r="29">
      <c r="C29" t="inlineStr">
        <is>
          <t>Ares Management</t>
        </is>
      </c>
    </row>
    <row r="30">
      <c r="C30" t="inlineStr">
        <is>
          <t>KKR</t>
        </is>
      </c>
    </row>
    <row r="32">
      <c r="C32" t="inlineStr">
        <is>
          <t>3. Credit Market Pricing (Early Warning Signals)</t>
        </is>
      </c>
    </row>
    <row r="33">
      <c r="C33" t="inlineStr">
        <is>
          <t>Will be tracking :</t>
        </is>
      </c>
    </row>
    <row r="34">
      <c r="C34" t="inlineStr">
        <is>
          <t>High Yield ETF (HYG)</t>
        </is>
      </c>
    </row>
    <row r="35">
      <c r="C35" t="inlineStr">
        <is>
          <t>Loan ETF (BKLN)</t>
        </is>
      </c>
    </row>
    <row r="37">
      <c r="C37" t="inlineStr">
        <is>
          <t>4. Risk Signals (Qualitative + Lagging)</t>
        </is>
      </c>
    </row>
    <row r="38">
      <c r="C38" t="inlineStr">
        <is>
          <t>Will be tracking:</t>
        </is>
      </c>
    </row>
    <row r="39">
      <c r="C39" t="inlineStr">
        <is>
          <t>Default rates</t>
        </is>
      </c>
    </row>
    <row r="40">
      <c r="C40" t="inlineStr">
        <is>
          <t>Rating agency outlooks</t>
        </is>
      </c>
    </row>
    <row r="41">
      <c r="C41" t="inlineStr">
        <is>
          <t>Key news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"/>
  <sheetViews>
    <sheetView zoomScale="184" workbookViewId="0">
      <selection activeCell="D4" sqref="D4"/>
    </sheetView>
  </sheetViews>
  <sheetFormatPr baseColWidth="10" defaultColWidth="8.83203125" defaultRowHeight="16"/>
  <cols>
    <col width="11.1640625" bestFit="1" customWidth="1" style="9" min="1" max="1"/>
    <col width="9.33203125" bestFit="1" customWidth="1" style="9" min="3" max="3"/>
    <col width="9.1640625" bestFit="1" customWidth="1" style="9" min="4" max="4"/>
  </cols>
  <sheetData>
    <row r="1">
      <c r="A1" t="inlineStr">
        <is>
          <t>Metric</t>
        </is>
      </c>
      <c r="B1" t="inlineStr">
        <is>
          <t>Current</t>
        </is>
      </c>
      <c r="C1" t="inlineStr">
        <is>
          <t>Last Week</t>
        </is>
      </c>
      <c r="D1" t="inlineStr">
        <is>
          <t>% Change</t>
        </is>
      </c>
    </row>
    <row r="2">
      <c r="A2" t="inlineStr">
        <is>
          <t>HYG</t>
        </is>
      </c>
      <c r="B2" t="n">
        <v>79.56</v>
      </c>
      <c r="C2" t="n">
        <v>78.81</v>
      </c>
      <c r="D2" t="n">
        <v>0.95</v>
      </c>
    </row>
    <row r="3">
      <c r="A3" t="inlineStr">
        <is>
          <t>Loan ETF</t>
        </is>
      </c>
      <c r="B3" t="n">
        <v>40.14</v>
      </c>
      <c r="C3" t="n">
        <v>39.92</v>
      </c>
      <c r="D3" t="n">
        <v>0.55</v>
      </c>
    </row>
    <row r="4">
      <c r="A4" t="inlineStr">
        <is>
          <t>Blackstone</t>
        </is>
      </c>
      <c r="B4" t="n">
        <v>114.99</v>
      </c>
      <c r="C4" t="n">
        <v>111.6</v>
      </c>
      <c r="D4" t="n">
        <v>3.04</v>
      </c>
    </row>
    <row r="5">
      <c r="A5" t="inlineStr">
        <is>
          <t>Apollo</t>
        </is>
      </c>
      <c r="B5" t="n">
        <v>111.42</v>
      </c>
      <c r="C5" t="n">
        <v>109.95</v>
      </c>
      <c r="D5" t="n">
        <v>1.34</v>
      </c>
    </row>
    <row r="6">
      <c r="A6" t="inlineStr">
        <is>
          <t>Ares</t>
        </is>
      </c>
      <c r="B6" t="n">
        <v>109.1</v>
      </c>
      <c r="C6" t="n">
        <v>107.66</v>
      </c>
      <c r="D6" t="n">
        <v>1.34</v>
      </c>
    </row>
    <row r="7">
      <c r="A7" t="inlineStr">
        <is>
          <t>KKR</t>
        </is>
      </c>
      <c r="B7" t="n">
        <v>92.5</v>
      </c>
      <c r="C7" t="n">
        <v>90.36</v>
      </c>
      <c r="D7" t="n">
        <v>2.37</v>
      </c>
    </row>
    <row r="8">
      <c r="A8" t="inlineStr">
        <is>
          <t>HY Spread</t>
        </is>
      </c>
      <c r="B8" t="n">
        <v>3.42</v>
      </c>
      <c r="C8" t="n">
        <v>3.24</v>
      </c>
      <c r="D8" t="n">
        <v>5.56</v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G61"/>
  <sheetViews>
    <sheetView topLeftCell="A40" zoomScale="200" workbookViewId="0">
      <selection activeCell="L50" sqref="L50"/>
    </sheetView>
  </sheetViews>
  <sheetFormatPr baseColWidth="10" defaultRowHeight="16"/>
  <cols>
    <col width="7.6640625" bestFit="1" customWidth="1" style="9" min="1" max="1"/>
    <col width="8" bestFit="1" customWidth="1" style="9" min="2" max="3"/>
    <col width="7.5" bestFit="1" customWidth="1" style="9" min="4" max="4"/>
    <col width="7" bestFit="1" customWidth="1" style="9" min="5" max="5"/>
    <col width="8.1640625" bestFit="1" customWidth="1" style="9" min="6" max="6"/>
    <col width="11.83203125" bestFit="1" customWidth="1" style="9" min="7" max="7"/>
  </cols>
  <sheetData>
    <row r="1">
      <c r="A1" t="inlineStr">
        <is>
          <t>Date</t>
        </is>
      </c>
      <c r="B1" t="inlineStr">
        <is>
          <t>Price</t>
        </is>
      </c>
      <c r="C1" t="inlineStr">
        <is>
          <t>Column1</t>
        </is>
      </c>
      <c r="D1" t="inlineStr">
        <is>
          <t>Column2</t>
        </is>
      </c>
      <c r="E1" t="inlineStr">
        <is>
          <t>Column3</t>
        </is>
      </c>
      <c r="F1" t="inlineStr">
        <is>
          <t>Column4</t>
        </is>
      </c>
      <c r="G1" t="inlineStr">
        <is>
          <t>Column5</t>
        </is>
      </c>
    </row>
    <row r="2">
      <c r="A2" s="3" t="n">
        <v>46024</v>
      </c>
      <c r="B2" t="n">
        <v>80.67</v>
      </c>
    </row>
    <row r="3">
      <c r="A3" s="3" t="n">
        <v>46027</v>
      </c>
      <c r="B3" t="n">
        <v>80.88</v>
      </c>
    </row>
    <row r="4">
      <c r="A4" s="3" t="n">
        <v>46028</v>
      </c>
      <c r="B4" t="n">
        <v>80.90000000000001</v>
      </c>
    </row>
    <row r="5">
      <c r="A5" s="3" t="n">
        <v>46029</v>
      </c>
      <c r="B5" t="n">
        <v>80.88</v>
      </c>
    </row>
    <row r="6">
      <c r="A6" s="3" t="n">
        <v>46030</v>
      </c>
      <c r="B6" t="n">
        <v>80.94</v>
      </c>
    </row>
    <row r="7">
      <c r="A7" s="3" t="n">
        <v>46031</v>
      </c>
      <c r="B7" t="n">
        <v>81</v>
      </c>
    </row>
    <row r="8">
      <c r="A8" s="3" t="n">
        <v>46034</v>
      </c>
      <c r="B8" t="n">
        <v>81.04000000000001</v>
      </c>
    </row>
    <row r="9">
      <c r="A9" s="3" t="n">
        <v>46035</v>
      </c>
      <c r="B9" t="n">
        <v>81.04000000000001</v>
      </c>
    </row>
    <row r="10">
      <c r="A10" s="3" t="n">
        <v>46036</v>
      </c>
      <c r="B10" t="n">
        <v>81.04000000000001</v>
      </c>
    </row>
    <row r="11">
      <c r="A11" s="3" t="n">
        <v>46037</v>
      </c>
      <c r="B11" t="n">
        <v>81.04000000000001</v>
      </c>
    </row>
    <row r="12">
      <c r="A12" s="3" t="n">
        <v>46038</v>
      </c>
      <c r="B12" t="n">
        <v>81.09</v>
      </c>
    </row>
    <row r="13">
      <c r="A13" s="3" t="n">
        <v>46042</v>
      </c>
      <c r="B13" t="n">
        <v>80.88</v>
      </c>
    </row>
    <row r="14">
      <c r="A14" s="3" t="n">
        <v>46043</v>
      </c>
      <c r="B14" t="n">
        <v>81.12</v>
      </c>
    </row>
    <row r="15">
      <c r="A15" s="3" t="n">
        <v>46044</v>
      </c>
      <c r="B15" t="n">
        <v>81.18000000000001</v>
      </c>
    </row>
    <row r="16">
      <c r="A16" s="3" t="n">
        <v>46045</v>
      </c>
      <c r="B16" t="n">
        <v>81.14</v>
      </c>
    </row>
    <row r="17">
      <c r="A17" s="3" t="n">
        <v>46048</v>
      </c>
      <c r="B17" t="n">
        <v>81.18000000000001</v>
      </c>
    </row>
    <row r="18">
      <c r="A18" s="3" t="n">
        <v>46049</v>
      </c>
      <c r="B18" t="n">
        <v>81.17</v>
      </c>
    </row>
    <row r="19">
      <c r="A19" s="3" t="n">
        <v>46050</v>
      </c>
      <c r="B19" t="n">
        <v>81.04000000000001</v>
      </c>
    </row>
    <row r="20">
      <c r="A20" s="3" t="n">
        <v>46051</v>
      </c>
      <c r="B20" t="n">
        <v>81.03</v>
      </c>
    </row>
    <row r="21">
      <c r="A21" s="3" t="n">
        <v>46052</v>
      </c>
      <c r="B21" t="n">
        <v>81.12</v>
      </c>
    </row>
    <row r="22">
      <c r="A22" s="3" t="n">
        <v>46055</v>
      </c>
      <c r="B22" t="n">
        <v>80.77</v>
      </c>
    </row>
    <row r="23">
      <c r="A23" s="3" t="n">
        <v>46056</v>
      </c>
      <c r="B23" t="n">
        <v>80.72</v>
      </c>
    </row>
    <row r="24">
      <c r="A24" s="3" t="n">
        <v>46057</v>
      </c>
      <c r="B24" t="n">
        <v>80.62</v>
      </c>
    </row>
    <row r="25">
      <c r="A25" s="3" t="n">
        <v>46058</v>
      </c>
      <c r="B25" t="n">
        <v>80.53</v>
      </c>
    </row>
    <row r="26">
      <c r="A26" s="3" t="n">
        <v>46059</v>
      </c>
      <c r="B26" t="n">
        <v>80.81</v>
      </c>
    </row>
    <row r="27">
      <c r="A27" s="3" t="n">
        <v>46062</v>
      </c>
      <c r="B27" t="n">
        <v>80.92</v>
      </c>
    </row>
    <row r="28">
      <c r="A28" s="3" t="n">
        <v>46063</v>
      </c>
      <c r="B28" t="n">
        <v>80.84</v>
      </c>
    </row>
    <row r="29">
      <c r="A29" s="3" t="n">
        <v>46064</v>
      </c>
      <c r="B29" t="n">
        <v>80.83</v>
      </c>
    </row>
    <row r="30">
      <c r="A30" s="3" t="n">
        <v>46065</v>
      </c>
      <c r="B30" t="n">
        <v>80.79000000000001</v>
      </c>
    </row>
    <row r="31">
      <c r="A31" s="3" t="n">
        <v>46066</v>
      </c>
      <c r="B31" t="n">
        <v>80.84999999999999</v>
      </c>
    </row>
    <row r="32">
      <c r="A32" s="3" t="n">
        <v>46070</v>
      </c>
      <c r="B32" t="n">
        <v>80.81</v>
      </c>
    </row>
    <row r="33">
      <c r="A33" s="3" t="n">
        <v>46071</v>
      </c>
      <c r="B33" t="n">
        <v>80.91</v>
      </c>
    </row>
    <row r="34">
      <c r="A34" s="3" t="n">
        <v>46072</v>
      </c>
      <c r="B34" t="n">
        <v>80.94</v>
      </c>
    </row>
    <row r="35">
      <c r="A35" s="3" t="n">
        <v>46073</v>
      </c>
      <c r="B35" t="n">
        <v>81</v>
      </c>
    </row>
    <row r="36">
      <c r="A36" s="3" t="n">
        <v>46076</v>
      </c>
      <c r="B36" t="n">
        <v>80.87</v>
      </c>
    </row>
    <row r="37">
      <c r="A37" s="3" t="n">
        <v>46077</v>
      </c>
      <c r="B37" t="n">
        <v>80.81</v>
      </c>
    </row>
    <row r="38">
      <c r="A38" s="3" t="n">
        <v>46078</v>
      </c>
      <c r="B38" t="n">
        <v>80.92</v>
      </c>
    </row>
    <row r="39">
      <c r="A39" s="3" t="n">
        <v>46079</v>
      </c>
      <c r="B39" t="n">
        <v>80.84999999999999</v>
      </c>
    </row>
    <row r="40">
      <c r="A40" s="3" t="n">
        <v>46080</v>
      </c>
      <c r="B40" t="n">
        <v>80.72</v>
      </c>
    </row>
    <row r="41">
      <c r="A41" s="3" t="n">
        <v>46083</v>
      </c>
      <c r="B41" t="n">
        <v>80.28</v>
      </c>
    </row>
    <row r="42">
      <c r="A42" s="3" t="n">
        <v>46084</v>
      </c>
      <c r="B42" t="n">
        <v>80.12</v>
      </c>
    </row>
    <row r="43">
      <c r="A43" s="3" t="n">
        <v>46085</v>
      </c>
      <c r="B43" t="n">
        <v>80.40000000000001</v>
      </c>
    </row>
    <row r="44">
      <c r="A44" s="3" t="n">
        <v>46086</v>
      </c>
      <c r="B44" t="n">
        <v>80.08</v>
      </c>
    </row>
    <row r="45">
      <c r="A45" s="3" t="n">
        <v>46087</v>
      </c>
      <c r="B45" t="n">
        <v>79.69</v>
      </c>
    </row>
    <row r="46">
      <c r="A46" s="3" t="n">
        <v>46090</v>
      </c>
      <c r="B46" t="n">
        <v>80.17</v>
      </c>
    </row>
    <row r="47">
      <c r="A47" s="3" t="n">
        <v>46091</v>
      </c>
      <c r="B47" t="n">
        <v>80.04000000000001</v>
      </c>
    </row>
    <row r="48">
      <c r="A48" s="3" t="n">
        <v>46092</v>
      </c>
      <c r="B48" t="n">
        <v>79.86</v>
      </c>
    </row>
    <row r="49">
      <c r="A49" s="3" t="n">
        <v>46093</v>
      </c>
      <c r="B49" t="n">
        <v>79.34999999999999</v>
      </c>
    </row>
    <row r="50">
      <c r="A50" s="3" t="n">
        <v>46094</v>
      </c>
      <c r="B50" t="n">
        <v>79.2</v>
      </c>
    </row>
    <row r="51">
      <c r="A51" s="3" t="n">
        <v>46097</v>
      </c>
      <c r="B51" t="n">
        <v>79.45</v>
      </c>
    </row>
    <row r="52">
      <c r="A52" s="3" t="n">
        <v>46098</v>
      </c>
      <c r="B52" t="n">
        <v>79.81</v>
      </c>
    </row>
    <row r="53">
      <c r="A53" s="3" t="n">
        <v>46099</v>
      </c>
      <c r="B53" t="n">
        <v>79.40000000000001</v>
      </c>
    </row>
    <row r="54">
      <c r="A54" s="3" t="n">
        <v>46100</v>
      </c>
      <c r="B54" t="n">
        <v>79.66</v>
      </c>
    </row>
    <row r="55">
      <c r="A55" s="3" t="n">
        <v>46101</v>
      </c>
      <c r="B55" t="n">
        <v>78.92</v>
      </c>
    </row>
    <row r="56">
      <c r="A56" s="3" t="n">
        <v>46104</v>
      </c>
      <c r="B56" t="n">
        <v>79.44</v>
      </c>
    </row>
    <row r="57">
      <c r="A57" s="3" t="n">
        <v>46105</v>
      </c>
      <c r="B57" t="n">
        <v>79.17</v>
      </c>
    </row>
    <row r="58">
      <c r="A58" s="3" t="n">
        <v>46106</v>
      </c>
      <c r="B58" t="n">
        <v>79.42</v>
      </c>
    </row>
    <row r="59">
      <c r="A59" s="3" t="n">
        <v>46107</v>
      </c>
      <c r="B59" t="n">
        <v>78.92</v>
      </c>
    </row>
    <row r="60">
      <c r="A60" s="3" t="n">
        <v>46108</v>
      </c>
      <c r="B60" t="n">
        <v>78.72</v>
      </c>
    </row>
    <row r="61">
      <c r="A61" s="3" t="n">
        <v>46111</v>
      </c>
      <c r="B61" t="n">
        <v>78.81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3" tint="0.249977111117893"/>
    <outlinePr summaryBelow="1" summaryRight="1"/>
    <pageSetUpPr/>
  </sheetPr>
  <dimension ref="A1:N8"/>
  <sheetViews>
    <sheetView showGridLines="0" tabSelected="1" zoomScale="125" zoomScaleNormal="140" workbookViewId="0">
      <selection activeCell="O17" sqref="O17"/>
    </sheetView>
  </sheetViews>
  <sheetFormatPr baseColWidth="10" defaultRowHeight="16"/>
  <cols>
    <col width="19.1640625" bestFit="1" customWidth="1" style="9" min="1" max="1"/>
    <col width="18.33203125" bestFit="1" customWidth="1" style="9" min="5" max="5"/>
    <col width="18.6640625" bestFit="1" customWidth="1" style="9" min="6" max="6"/>
    <col width="18.33203125" bestFit="1" customWidth="1" style="9" min="11" max="11"/>
  </cols>
  <sheetData>
    <row r="1" ht="24" customHeight="1" s="9">
      <c r="A1" s="10" t="inlineStr">
        <is>
          <t>Private Credit Market Dashboard</t>
        </is>
      </c>
    </row>
    <row r="3">
      <c r="A3" s="8" t="inlineStr">
        <is>
          <t>Market Risk</t>
        </is>
      </c>
      <c r="F3" s="8" t="inlineStr">
        <is>
          <t>Private Credit Proxies</t>
        </is>
      </c>
      <c r="K3" s="8" t="inlineStr">
        <is>
          <t>Credit Market Pricing</t>
        </is>
      </c>
    </row>
    <row r="4">
      <c r="A4" s="6" t="inlineStr">
        <is>
          <t>Market Risk Indicators</t>
        </is>
      </c>
      <c r="B4" s="6" t="inlineStr">
        <is>
          <t>Current</t>
        </is>
      </c>
      <c r="C4" s="6" t="inlineStr">
        <is>
          <t>Last Week</t>
        </is>
      </c>
      <c r="D4" s="6" t="inlineStr">
        <is>
          <t>% Change</t>
        </is>
      </c>
      <c r="F4" s="6" t="inlineStr">
        <is>
          <t>Private Credit Firms</t>
        </is>
      </c>
      <c r="G4" s="6" t="inlineStr">
        <is>
          <t>Current</t>
        </is>
      </c>
      <c r="H4" s="6" t="inlineStr">
        <is>
          <t>Last Week</t>
        </is>
      </c>
      <c r="I4" s="6" t="inlineStr">
        <is>
          <t>% Change</t>
        </is>
      </c>
      <c r="K4" s="6" t="inlineStr">
        <is>
          <t>Credit Pricing</t>
        </is>
      </c>
      <c r="L4" s="6" t="inlineStr">
        <is>
          <t>Current</t>
        </is>
      </c>
      <c r="M4" s="6" t="inlineStr">
        <is>
          <t xml:space="preserve">Last Week </t>
        </is>
      </c>
      <c r="N4" s="6" t="inlineStr">
        <is>
          <t>% Change</t>
        </is>
      </c>
    </row>
    <row r="5">
      <c r="A5" t="inlineStr">
        <is>
          <t>HY Spread</t>
        </is>
      </c>
      <c r="B5" s="4">
        <f>Data_Input!B8</f>
        <v/>
      </c>
      <c r="C5">
        <f>Data_Input!C8</f>
        <v/>
      </c>
      <c r="D5" s="5">
        <f>(B5-C5)/C5</f>
        <v/>
      </c>
      <c r="F5" t="inlineStr">
        <is>
          <t>BX</t>
        </is>
      </c>
      <c r="G5">
        <f>Data_Input!B4</f>
        <v/>
      </c>
      <c r="H5">
        <f>Data_Input!C4</f>
        <v/>
      </c>
      <c r="I5" s="7">
        <f>(G5-H5)/H5</f>
        <v/>
      </c>
      <c r="K5" t="inlineStr">
        <is>
          <t>HYG</t>
        </is>
      </c>
      <c r="L5">
        <f>Data_Input!B2</f>
        <v/>
      </c>
      <c r="M5">
        <f>Data_Input!C2</f>
        <v/>
      </c>
      <c r="N5" s="5">
        <f>(L5-M5)/M5</f>
        <v/>
      </c>
    </row>
    <row r="6">
      <c r="A6" t="inlineStr">
        <is>
          <t>Loan ETF (LVLN)</t>
        </is>
      </c>
      <c r="B6" s="4">
        <f>Data_Input!B3</f>
        <v/>
      </c>
      <c r="C6">
        <f>Data_Input!C3</f>
        <v/>
      </c>
      <c r="D6" s="5">
        <f>(B6-C6)/C6</f>
        <v/>
      </c>
      <c r="F6" t="inlineStr">
        <is>
          <t>APO</t>
        </is>
      </c>
      <c r="G6">
        <f>Data_Input!B5</f>
        <v/>
      </c>
      <c r="H6">
        <f>Data_Input!C5</f>
        <v/>
      </c>
      <c r="I6" s="7">
        <f>(G6-H6)/H6</f>
        <v/>
      </c>
    </row>
    <row r="7">
      <c r="F7" t="inlineStr">
        <is>
          <t>ARES</t>
        </is>
      </c>
      <c r="G7">
        <f>Data_Input!B6</f>
        <v/>
      </c>
      <c r="H7">
        <f>Data_Input!C6</f>
        <v/>
      </c>
      <c r="I7" s="7">
        <f>(G7-H7)/H7</f>
        <v/>
      </c>
    </row>
    <row r="8">
      <c r="F8" t="inlineStr">
        <is>
          <t>KKR</t>
        </is>
      </c>
      <c r="G8">
        <f>Data_Input!B7</f>
        <v/>
      </c>
      <c r="H8">
        <f>Data_Input!C7</f>
        <v/>
      </c>
      <c r="I8" s="7">
        <f>(G8-H8)/H8</f>
        <v/>
      </c>
    </row>
  </sheetData>
  <mergeCells count="4">
    <mergeCell ref="K3:N3"/>
    <mergeCell ref="F3:I3"/>
    <mergeCell ref="A3:D3"/>
    <mergeCell ref="A1:N1"/>
  </mergeCells>
  <conditionalFormatting sqref="B5:D6 G5:I8">
    <cfRule type="cellIs" priority="8" operator="greaterThan" dxfId="0">
      <formula>0</formula>
    </cfRule>
  </conditionalFormatting>
  <conditionalFormatting sqref="B5:D6">
    <cfRule type="cellIs" priority="5" operator="lessThan" dxfId="1">
      <formula>0</formula>
    </cfRule>
    <cfRule type="cellIs" priority="6" operator="lessThan" dxfId="1">
      <formula>-0.01</formula>
    </cfRule>
  </conditionalFormatting>
  <conditionalFormatting sqref="G5:I8">
    <cfRule type="cellIs" priority="4" operator="lessThan" dxfId="1">
      <formula>0</formula>
    </cfRule>
    <cfRule type="cellIs" priority="7" operator="lessThan" dxfId="1">
      <formula>-0.01</formula>
    </cfRule>
  </conditionalFormatting>
  <conditionalFormatting sqref="L5:N5">
    <cfRule type="cellIs" priority="1" operator="lessThan" dxfId="1">
      <formula>0</formula>
    </cfRule>
    <cfRule type="cellIs" priority="2" operator="greaterThan" dxfId="0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Nikhil NV</dc:creator>
  <dcterms:created xsi:type="dcterms:W3CDTF">2026-03-30T18:10:16Z</dcterms:created>
  <dcterms:modified xsi:type="dcterms:W3CDTF">2026-04-01T02:14:07Z</dcterms:modified>
  <cp:lastModifiedBy>Nikhil NV</cp:lastModifiedBy>
</cp:coreProperties>
</file>